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cisco\Downloads\"/>
    </mc:Choice>
  </mc:AlternateContent>
  <xr:revisionPtr revIDLastSave="0" documentId="13_ncr:1_{F92F734A-7DFF-4821-AE6B-C760BA1590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3" l="1"/>
  <c r="E3" i="3"/>
  <c r="D55" i="2"/>
  <c r="D54" i="2"/>
  <c r="H23" i="2"/>
  <c r="I23" i="2" s="1"/>
  <c r="H48" i="2"/>
  <c r="I48" i="2" s="1"/>
  <c r="H36" i="2"/>
  <c r="I36" i="2" s="1"/>
  <c r="H15" i="2"/>
  <c r="I15" i="2" s="1"/>
  <c r="H30" i="2"/>
  <c r="I30" i="2" s="1"/>
  <c r="H11" i="2"/>
  <c r="I11" i="2" s="1"/>
  <c r="H33" i="2"/>
  <c r="I33" i="2" s="1"/>
  <c r="H37" i="2"/>
  <c r="I37" i="2" s="1"/>
  <c r="H45" i="2"/>
  <c r="I45" i="2" s="1"/>
  <c r="H39" i="2"/>
  <c r="I39" i="2" s="1"/>
  <c r="H31" i="2"/>
  <c r="I31" i="2" s="1"/>
  <c r="H34" i="2"/>
  <c r="I34" i="2" s="1"/>
  <c r="H42" i="2"/>
  <c r="I42" i="2" s="1"/>
  <c r="H47" i="2"/>
  <c r="I47" i="2" s="1"/>
  <c r="H29" i="2"/>
  <c r="I29" i="2" s="1"/>
  <c r="H44" i="2"/>
  <c r="I44" i="2" s="1"/>
  <c r="H41" i="2"/>
  <c r="I41" i="2" s="1"/>
  <c r="H49" i="2"/>
  <c r="I49" i="2" s="1"/>
  <c r="H46" i="2"/>
  <c r="I46" i="2" s="1"/>
  <c r="H21" i="2"/>
  <c r="I21" i="2" s="1"/>
  <c r="H26" i="2"/>
  <c r="I26" i="2" s="1"/>
  <c r="H28" i="2"/>
  <c r="I28" i="2" s="1"/>
  <c r="H43" i="2"/>
  <c r="I43" i="2" s="1"/>
  <c r="H24" i="2"/>
  <c r="I24" i="2" s="1"/>
  <c r="H6" i="2"/>
  <c r="I6" i="2" s="1"/>
  <c r="H32" i="2"/>
  <c r="I32" i="2" s="1"/>
  <c r="H38" i="2"/>
  <c r="I38" i="2" s="1"/>
  <c r="H25" i="2"/>
  <c r="I25" i="2" s="1"/>
  <c r="H22" i="2"/>
  <c r="I22" i="2" s="1"/>
  <c r="H27" i="2"/>
  <c r="I27" i="2" s="1"/>
  <c r="H35" i="2"/>
  <c r="I35" i="2" s="1"/>
  <c r="H50" i="2"/>
  <c r="I50" i="2" s="1"/>
  <c r="H51" i="2"/>
  <c r="I51" i="2" s="1"/>
  <c r="H20" i="2"/>
  <c r="I20" i="2" s="1"/>
  <c r="H19" i="2"/>
  <c r="I19" i="2" s="1"/>
  <c r="H16" i="2"/>
  <c r="I16" i="2" s="1"/>
  <c r="H17" i="2"/>
  <c r="I17" i="2" s="1"/>
  <c r="H13" i="2"/>
  <c r="I13" i="2" s="1"/>
  <c r="H4" i="2"/>
  <c r="I4" i="2" s="1"/>
  <c r="H14" i="2"/>
  <c r="I14" i="2" s="1"/>
  <c r="H18" i="2"/>
  <c r="I18" i="2" s="1"/>
  <c r="H2" i="2"/>
  <c r="I2" i="2" s="1"/>
  <c r="H3" i="2"/>
  <c r="I3" i="2" s="1"/>
  <c r="H9" i="2"/>
  <c r="I9" i="2" s="1"/>
  <c r="H8" i="2"/>
  <c r="I8" i="2" s="1"/>
  <c r="H7" i="2"/>
  <c r="I7" i="2" s="1"/>
  <c r="H12" i="2"/>
  <c r="I12" i="2" s="1"/>
  <c r="H5" i="2"/>
  <c r="I5" i="2" s="1"/>
  <c r="H10" i="2"/>
  <c r="I10" i="2" s="1"/>
  <c r="H40" i="2"/>
  <c r="D56" i="2" l="1"/>
  <c r="I40" i="2"/>
  <c r="E1" i="3"/>
</calcChain>
</file>

<file path=xl/sharedStrings.xml><?xml version="1.0" encoding="utf-8"?>
<sst xmlns="http://schemas.openxmlformats.org/spreadsheetml/2006/main" count="219" uniqueCount="129">
  <si>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</si>
  <si>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</si>
  <si>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</si>
  <si>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</si>
  <si>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</si>
  <si>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</si>
  <si>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</si>
  <si>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</si>
  <si>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</si>
  <si>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</si>
  <si>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</si>
  <si>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</si>
  <si>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</si>
  <si>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</si>
  <si>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</si>
  <si>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</si>
  <si>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</si>
  <si>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</si>
  <si>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</si>
  <si>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</si>
  <si>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</si>
  <si>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</si>
  <si>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</si>
  <si>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</si>
  <si>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</si>
  <si>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</si>
  <si>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</si>
  <si>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</si>
  <si>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</si>
  <si>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</si>
  <si>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</si>
  <si>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</si>
  <si>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</si>
  <si>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</si>
  <si>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</si>
  <si>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</si>
  <si>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</si>
  <si>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</si>
  <si>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</si>
  <si>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</si>
  <si>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</si>
  <si>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</si>
  <si>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</si>
  <si>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</si>
  <si>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</si>
  <si>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</si>
  <si>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</si>
  <si>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</si>
  <si>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</si>
  <si>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</si>
  <si>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</si>
  <si>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</si>
  <si>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</si>
  <si>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</si>
  <si>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</si>
  <si>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</si>
  <si>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</si>
  <si>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</si>
  <si>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</si>
  <si>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</si>
  <si>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</si>
  <si>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</si>
  <si>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</si>
  <si>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</si>
  <si>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</si>
  <si>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</si>
  <si>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</si>
  <si>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</si>
  <si>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</si>
  <si>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</si>
  <si>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</si>
  <si>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</si>
  <si>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</si>
  <si>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</si>
  <si>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</si>
  <si>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</si>
  <si>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</si>
  <si>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</si>
  <si>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</si>
  <si>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</si>
  <si>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</si>
  <si>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</si>
  <si>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</si>
  <si>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</si>
  <si>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</si>
  <si>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</si>
  <si>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</si>
  <si>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</si>
  <si>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</si>
  <si>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</si>
  <si>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</si>
  <si>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</si>
  <si>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</si>
  <si>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</si>
  <si>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</si>
  <si>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</si>
  <si>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</si>
  <si>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</si>
  <si>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</si>
  <si>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</si>
  <si>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</si>
  <si>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</si>
  <si>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</si>
  <si>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</si>
  <si>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</si>
  <si>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</si>
  <si>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</si>
  <si>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</si>
  <si>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</si>
  <si>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</si>
  <si>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</si>
  <si>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</si>
  <si>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</si>
  <si>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</si>
  <si>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</si>
  <si>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</si>
  <si>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</si>
  <si>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</si>
  <si>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</si>
  <si>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</si>
  <si>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Precio Promedio</t>
  </si>
  <si>
    <t>Cantidad de productos registrados</t>
  </si>
  <si>
    <t>Importe correspondinete a México</t>
  </si>
  <si>
    <t>¿Cuál es el importe total de la operación?</t>
  </si>
  <si>
    <t>¿Cuál es el producto con mayor importe?</t>
  </si>
  <si>
    <t>¿Cuál es el precio promedio?</t>
  </si>
  <si>
    <t>¿Cuántos productos están registrados?</t>
  </si>
  <si>
    <t>¿Por qué es importante analizar esta información antes de realizar una operación comercial?</t>
  </si>
  <si>
    <t>Analizar antes de cad operación comercial, evita sobrecostos, permite negociar mejor con proveedores, controla inventario y reduce riesgos de pérdidas.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</si>
</sst>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4" formatCode="\$#,##0.00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4" formatCode="\$#,##0.00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FF633-4ABF-4A98-A0C2-FFC3C67BB999}" name="Tabla1" displayName="Tabla1" ref="A1:I51" totalsRowShown="0" headerRowDxfId="0" headerRowBorderDxfId="10" tableBorderDxfId="11">
  <autoFilter ref="A1:I51" xr:uid="{B65FF633-4ABF-4A98-A0C2-FFC3C67BB999}"/>
  <sortState xmlns:xlrd2="http://schemas.microsoft.com/office/spreadsheetml/2017/richdata2" ref="A2:I51">
    <sortCondition descending="1" ref="H1:H51"/>
  </sortState>
  <tableColumns count="9">
    <tableColumn id="1" xr3:uid="{3BC6493E-A7A3-4AC2-B3A4-0992857F4A15}" name="No." dataDxfId="9"/>
    <tableColumn id="2" xr3:uid="{095E8B8F-9476-4D6B-93F6-6F0DCFA2BCB9}" name="Código" dataDxfId="8"/>
    <tableColumn id="3" xr3:uid="{53A24CC3-2DDD-4A38-B9F5-D211856AFFAB}" name="Producto" dataDxfId="7"/>
    <tableColumn id="4" xr3:uid="{FB3502C0-FC1E-47BD-9226-06907FEB2C92}" name="Categoría" dataDxfId="6"/>
    <tableColumn id="5" xr3:uid="{0160567B-C1AD-414D-91DE-6BF72C3F9BF0}" name="País Origen" dataDxfId="5"/>
    <tableColumn id="6" xr3:uid="{7AE4A7AD-5E5A-47D9-AF7D-62CA6BFAB16F}" name="Cantidad" dataDxfId="4"/>
    <tableColumn id="7" xr3:uid="{DEE698FC-FAFF-45BF-9743-7170D5DA8305}" name="Precio Unitario (USD)" dataDxfId="3"/>
    <tableColumn id="8" xr3:uid="{D801C1FF-7BDB-4E26-9C65-4B182E26A4B9}" name="Importe Total (USD)" dataDxfId="2">
      <calculatedColumnFormula>+G2*F2</calculatedColumnFormula>
    </tableColumn>
    <tableColumn id="9" xr3:uid="{C0E24EBF-70F8-4BF7-932B-9DBD41777194}" name="Clasificación" dataDxfId="1">
      <calculatedColumnFormula>+IF(H2&gt;1000,"Import Alto","Importe Normal")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workbookViewId="0">
      <pane ySplit="1" topLeftCell="A2" activePane="bottomLeft" state="frozen"/>
      <selection pane="bottomLeft" activeCell="G64" sqref="G64"/>
    </sheetView>
  </sheetViews>
  <sheetFormatPr baseColWidth="10" defaultColWidth="8.85546875" defaultRowHeight="15" x14ac:dyDescent="0.25"/>
  <cols>
    <col min="1" max="1" width="6.28515625" style="5" customWidth="1"/>
    <col min="2" max="2" width="9.28515625" style="5" customWidth="1"/>
    <col min="3" max="3" width="23.28515625" customWidth="1"/>
    <col min="4" max="4" width="11.5703125" customWidth="1"/>
    <col min="5" max="5" width="13.140625" style="5" customWidth="1"/>
    <col min="6" max="6" width="11" customWidth="1"/>
    <col min="7" max="7" width="22" customWidth="1"/>
    <col min="8" max="8" width="20.7109375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43</v>
      </c>
      <c r="B2" s="4" t="s">
        <v>100</v>
      </c>
      <c r="C2" s="2" t="s">
        <v>101</v>
      </c>
      <c r="D2" s="2" t="s">
        <v>102</v>
      </c>
      <c r="E2" s="4" t="s">
        <v>12</v>
      </c>
      <c r="F2" s="2">
        <v>85</v>
      </c>
      <c r="G2" s="3">
        <v>22.5</v>
      </c>
      <c r="H2" s="3">
        <f>+G2*F2</f>
        <v>1912.5</v>
      </c>
      <c r="I2" s="2" t="str">
        <f>+IF(H2&gt;1000,"Import Alto","Importe Normal")</f>
        <v>Import Alto</v>
      </c>
    </row>
    <row r="3" spans="1:9" x14ac:dyDescent="0.25">
      <c r="A3" s="4">
        <v>44</v>
      </c>
      <c r="B3" s="4" t="s">
        <v>103</v>
      </c>
      <c r="C3" s="2" t="s">
        <v>104</v>
      </c>
      <c r="D3" s="2" t="s">
        <v>102</v>
      </c>
      <c r="E3" s="4" t="s">
        <v>12</v>
      </c>
      <c r="F3" s="2">
        <v>60</v>
      </c>
      <c r="G3" s="3">
        <v>28</v>
      </c>
      <c r="H3" s="3">
        <f>+G3*F3</f>
        <v>1680</v>
      </c>
      <c r="I3" s="2" t="str">
        <f>+IF(H3&gt;1000,"Import Alto","Importe Normal")</f>
        <v>Import Alto</v>
      </c>
    </row>
    <row r="4" spans="1:9" x14ac:dyDescent="0.25">
      <c r="A4" s="4">
        <v>40</v>
      </c>
      <c r="B4" s="4" t="s">
        <v>94</v>
      </c>
      <c r="C4" s="2" t="s">
        <v>95</v>
      </c>
      <c r="D4" s="2" t="s">
        <v>89</v>
      </c>
      <c r="E4" s="4" t="s">
        <v>12</v>
      </c>
      <c r="F4" s="2">
        <v>90</v>
      </c>
      <c r="G4" s="3">
        <v>18.5</v>
      </c>
      <c r="H4" s="3">
        <f>+G4*F4</f>
        <v>1665</v>
      </c>
      <c r="I4" s="2" t="str">
        <f>+IF(H4&gt;1000,"Import Alto","Importe Normal")</f>
        <v>Import Alto</v>
      </c>
    </row>
    <row r="5" spans="1:9" x14ac:dyDescent="0.25">
      <c r="A5" s="4">
        <v>49</v>
      </c>
      <c r="B5" s="4" t="s">
        <v>116</v>
      </c>
      <c r="C5" s="2" t="s">
        <v>117</v>
      </c>
      <c r="D5" s="2" t="s">
        <v>102</v>
      </c>
      <c r="E5" s="4" t="s">
        <v>12</v>
      </c>
      <c r="F5" s="2">
        <v>65</v>
      </c>
      <c r="G5" s="3">
        <v>24.5</v>
      </c>
      <c r="H5" s="3">
        <f>+G5*F5</f>
        <v>1592.5</v>
      </c>
      <c r="I5" s="2" t="str">
        <f>+IF(H5&gt;1000,"Import Alto","Importe Normal")</f>
        <v>Import Alto</v>
      </c>
    </row>
    <row r="6" spans="1:9" x14ac:dyDescent="0.25">
      <c r="A6" s="4">
        <v>26</v>
      </c>
      <c r="B6" s="4" t="s">
        <v>63</v>
      </c>
      <c r="C6" s="2" t="s">
        <v>64</v>
      </c>
      <c r="D6" s="2" t="s">
        <v>65</v>
      </c>
      <c r="E6" s="4" t="s">
        <v>12</v>
      </c>
      <c r="F6" s="2">
        <v>200</v>
      </c>
      <c r="G6" s="3">
        <v>6.25</v>
      </c>
      <c r="H6" s="3">
        <f>+G6*F6</f>
        <v>1250</v>
      </c>
      <c r="I6" s="2" t="str">
        <f>+IF(H6&gt;1000,"Import Alto","Importe Normal")</f>
        <v>Import Alto</v>
      </c>
    </row>
    <row r="7" spans="1:9" x14ac:dyDescent="0.25">
      <c r="A7" s="4">
        <v>47</v>
      </c>
      <c r="B7" s="4" t="s">
        <v>111</v>
      </c>
      <c r="C7" s="2" t="s">
        <v>112</v>
      </c>
      <c r="D7" s="2" t="s">
        <v>102</v>
      </c>
      <c r="E7" s="4" t="s">
        <v>113</v>
      </c>
      <c r="F7" s="2">
        <v>75</v>
      </c>
      <c r="G7" s="3">
        <v>16.5</v>
      </c>
      <c r="H7" s="3">
        <f>+G7*F7</f>
        <v>1237.5</v>
      </c>
      <c r="I7" s="2" t="str">
        <f>+IF(H7&gt;1000,"Import Alto","Importe Normal")</f>
        <v>Import Alto</v>
      </c>
    </row>
    <row r="8" spans="1:9" x14ac:dyDescent="0.25">
      <c r="A8" s="4">
        <v>46</v>
      </c>
      <c r="B8" s="4" t="s">
        <v>108</v>
      </c>
      <c r="C8" s="2" t="s">
        <v>109</v>
      </c>
      <c r="D8" s="2" t="s">
        <v>102</v>
      </c>
      <c r="E8" s="4" t="s">
        <v>110</v>
      </c>
      <c r="F8" s="2">
        <v>90</v>
      </c>
      <c r="G8" s="3">
        <v>12.8</v>
      </c>
      <c r="H8" s="3">
        <f>+G8*F8</f>
        <v>1152</v>
      </c>
      <c r="I8" s="2" t="str">
        <f>+IF(H8&gt;1000,"Import Alto","Importe Normal")</f>
        <v>Import Alto</v>
      </c>
    </row>
    <row r="9" spans="1:9" x14ac:dyDescent="0.25">
      <c r="A9" s="4">
        <v>45</v>
      </c>
      <c r="B9" s="4" t="s">
        <v>105</v>
      </c>
      <c r="C9" s="2" t="s">
        <v>106</v>
      </c>
      <c r="D9" s="2" t="s">
        <v>102</v>
      </c>
      <c r="E9" s="4" t="s">
        <v>107</v>
      </c>
      <c r="F9" s="2">
        <v>120</v>
      </c>
      <c r="G9" s="3">
        <v>8.75</v>
      </c>
      <c r="H9" s="3">
        <f>+G9*F9</f>
        <v>1050</v>
      </c>
      <c r="I9" s="2" t="str">
        <f>+IF(H9&gt;1000,"Import Alto","Importe Normal")</f>
        <v>Import Alto</v>
      </c>
    </row>
    <row r="10" spans="1:9" x14ac:dyDescent="0.25">
      <c r="A10" s="4">
        <v>50</v>
      </c>
      <c r="B10" s="4" t="s">
        <v>118</v>
      </c>
      <c r="C10" s="2" t="s">
        <v>119</v>
      </c>
      <c r="D10" s="2" t="s">
        <v>65</v>
      </c>
      <c r="E10" s="4" t="s">
        <v>12</v>
      </c>
      <c r="F10" s="2">
        <v>100</v>
      </c>
      <c r="G10" s="3">
        <v>10.5</v>
      </c>
      <c r="H10" s="3">
        <f>+G10*F10</f>
        <v>1050</v>
      </c>
      <c r="I10" s="2" t="str">
        <f>+IF(H10&gt;1000,"Import Alto","Importe Normal")</f>
        <v>Import Alto</v>
      </c>
    </row>
    <row r="11" spans="1:9" x14ac:dyDescent="0.25">
      <c r="A11" s="4">
        <v>7</v>
      </c>
      <c r="B11" s="4" t="s">
        <v>23</v>
      </c>
      <c r="C11" s="2" t="s">
        <v>24</v>
      </c>
      <c r="D11" s="2" t="s">
        <v>11</v>
      </c>
      <c r="E11" s="4" t="s">
        <v>12</v>
      </c>
      <c r="F11" s="2">
        <v>110</v>
      </c>
      <c r="G11" s="3">
        <v>9.5</v>
      </c>
      <c r="H11" s="3">
        <f>+G11*F11</f>
        <v>1045</v>
      </c>
      <c r="I11" s="2" t="str">
        <f>+IF(H11&gt;1000,"Import Alto","Importe Normal")</f>
        <v>Import Alto</v>
      </c>
    </row>
    <row r="12" spans="1:9" x14ac:dyDescent="0.25">
      <c r="A12" s="4">
        <v>48</v>
      </c>
      <c r="B12" s="4" t="s">
        <v>114</v>
      </c>
      <c r="C12" s="2" t="s">
        <v>115</v>
      </c>
      <c r="D12" s="2" t="s">
        <v>102</v>
      </c>
      <c r="E12" s="4" t="s">
        <v>12</v>
      </c>
      <c r="F12" s="2">
        <v>110</v>
      </c>
      <c r="G12" s="3">
        <v>9.25</v>
      </c>
      <c r="H12" s="3">
        <f>+G12*F12</f>
        <v>1017.5</v>
      </c>
      <c r="I12" s="2" t="str">
        <f>+IF(H12&gt;1000,"Import Alto","Importe Normal")</f>
        <v>Import Alto</v>
      </c>
    </row>
    <row r="13" spans="1:9" x14ac:dyDescent="0.25">
      <c r="A13" s="4">
        <v>39</v>
      </c>
      <c r="B13" s="4" t="s">
        <v>92</v>
      </c>
      <c r="C13" s="2" t="s">
        <v>93</v>
      </c>
      <c r="D13" s="2" t="s">
        <v>89</v>
      </c>
      <c r="E13" s="4" t="s">
        <v>12</v>
      </c>
      <c r="F13" s="2">
        <v>75</v>
      </c>
      <c r="G13" s="3">
        <v>13.25</v>
      </c>
      <c r="H13" s="3">
        <f>+G13*F13</f>
        <v>993.75</v>
      </c>
      <c r="I13" s="2" t="str">
        <f>+IF(H13&gt;1000,"Import Alto","Importe Normal")</f>
        <v>Importe Normal</v>
      </c>
    </row>
    <row r="14" spans="1:9" x14ac:dyDescent="0.25">
      <c r="A14" s="4">
        <v>41</v>
      </c>
      <c r="B14" s="4" t="s">
        <v>96</v>
      </c>
      <c r="C14" s="2" t="s">
        <v>97</v>
      </c>
      <c r="D14" s="2" t="s">
        <v>89</v>
      </c>
      <c r="E14" s="4" t="s">
        <v>12</v>
      </c>
      <c r="F14" s="2">
        <v>100</v>
      </c>
      <c r="G14" s="3">
        <v>9.75</v>
      </c>
      <c r="H14" s="3">
        <f>+G14*F14</f>
        <v>975</v>
      </c>
      <c r="I14" s="2" t="str">
        <f>+IF(H14&gt;1000,"Import Alto","Importe Normal")</f>
        <v>Importe Normal</v>
      </c>
    </row>
    <row r="15" spans="1:9" x14ac:dyDescent="0.25">
      <c r="A15" s="4">
        <v>5</v>
      </c>
      <c r="B15" s="4" t="s">
        <v>19</v>
      </c>
      <c r="C15" s="2" t="s">
        <v>20</v>
      </c>
      <c r="D15" s="2" t="s">
        <v>11</v>
      </c>
      <c r="E15" s="4" t="s">
        <v>12</v>
      </c>
      <c r="F15" s="2">
        <v>180</v>
      </c>
      <c r="G15" s="3">
        <v>5.4</v>
      </c>
      <c r="H15" s="3">
        <f>+G15*F15</f>
        <v>972.00000000000011</v>
      </c>
      <c r="I15" s="2" t="str">
        <f>+IF(H15&gt;1000,"Import Alto","Importe Normal")</f>
        <v>Importe Normal</v>
      </c>
    </row>
    <row r="16" spans="1:9" x14ac:dyDescent="0.25">
      <c r="A16" s="4">
        <v>37</v>
      </c>
      <c r="B16" s="4" t="s">
        <v>87</v>
      </c>
      <c r="C16" s="2" t="s">
        <v>88</v>
      </c>
      <c r="D16" s="2" t="s">
        <v>89</v>
      </c>
      <c r="E16" s="4" t="s">
        <v>12</v>
      </c>
      <c r="F16" s="2">
        <v>80</v>
      </c>
      <c r="G16" s="3">
        <v>11.75</v>
      </c>
      <c r="H16" s="3">
        <f>+G16*F16</f>
        <v>940</v>
      </c>
      <c r="I16" s="2" t="str">
        <f>+IF(H16&gt;1000,"Import Alto","Importe Normal")</f>
        <v>Importe Normal</v>
      </c>
    </row>
    <row r="17" spans="1:9" x14ac:dyDescent="0.25">
      <c r="A17" s="4">
        <v>38</v>
      </c>
      <c r="B17" s="4" t="s">
        <v>90</v>
      </c>
      <c r="C17" s="2" t="s">
        <v>91</v>
      </c>
      <c r="D17" s="2" t="s">
        <v>89</v>
      </c>
      <c r="E17" s="4" t="s">
        <v>12</v>
      </c>
      <c r="F17" s="2">
        <v>60</v>
      </c>
      <c r="G17" s="3">
        <v>15.5</v>
      </c>
      <c r="H17" s="3">
        <f>+G17*F17</f>
        <v>930</v>
      </c>
      <c r="I17" s="2" t="str">
        <f>+IF(H17&gt;1000,"Import Alto","Importe Normal")</f>
        <v>Importe Normal</v>
      </c>
    </row>
    <row r="18" spans="1:9" x14ac:dyDescent="0.25">
      <c r="A18" s="4">
        <v>42</v>
      </c>
      <c r="B18" s="4" t="s">
        <v>98</v>
      </c>
      <c r="C18" s="2" t="s">
        <v>99</v>
      </c>
      <c r="D18" s="2" t="s">
        <v>89</v>
      </c>
      <c r="E18" s="4" t="s">
        <v>12</v>
      </c>
      <c r="F18" s="2">
        <v>120</v>
      </c>
      <c r="G18" s="3">
        <v>7.5</v>
      </c>
      <c r="H18" s="3">
        <f>+G18*F18</f>
        <v>900</v>
      </c>
      <c r="I18" s="2" t="str">
        <f>+IF(H18&gt;1000,"Import Alto","Importe Normal")</f>
        <v>Importe Normal</v>
      </c>
    </row>
    <row r="19" spans="1:9" x14ac:dyDescent="0.25">
      <c r="A19" s="4">
        <v>36</v>
      </c>
      <c r="B19" s="4" t="s">
        <v>85</v>
      </c>
      <c r="C19" s="2" t="s">
        <v>86</v>
      </c>
      <c r="D19" s="2" t="s">
        <v>76</v>
      </c>
      <c r="E19" s="4" t="s">
        <v>12</v>
      </c>
      <c r="F19" s="2">
        <v>70</v>
      </c>
      <c r="G19" s="3">
        <v>12.5</v>
      </c>
      <c r="H19" s="3">
        <f>+G19*F19</f>
        <v>875</v>
      </c>
      <c r="I19" s="2" t="str">
        <f>+IF(H19&gt;1000,"Import Alto","Importe Normal")</f>
        <v>Importe Normal</v>
      </c>
    </row>
    <row r="20" spans="1:9" x14ac:dyDescent="0.25">
      <c r="A20" s="4">
        <v>35</v>
      </c>
      <c r="B20" s="4" t="s">
        <v>83</v>
      </c>
      <c r="C20" s="2" t="s">
        <v>84</v>
      </c>
      <c r="D20" s="2" t="s">
        <v>76</v>
      </c>
      <c r="E20" s="4" t="s">
        <v>12</v>
      </c>
      <c r="F20" s="2">
        <v>100</v>
      </c>
      <c r="G20" s="3">
        <v>7.8</v>
      </c>
      <c r="H20" s="3">
        <f>+G20*F20</f>
        <v>780</v>
      </c>
      <c r="I20" s="2" t="str">
        <f>+IF(H20&gt;1000,"Import Alto","Importe Normal")</f>
        <v>Importe Normal</v>
      </c>
    </row>
    <row r="21" spans="1:9" x14ac:dyDescent="0.25">
      <c r="A21" s="4">
        <v>21</v>
      </c>
      <c r="B21" s="4" t="s">
        <v>52</v>
      </c>
      <c r="C21" s="2" t="s">
        <v>53</v>
      </c>
      <c r="D21" s="2" t="s">
        <v>54</v>
      </c>
      <c r="E21" s="4" t="s">
        <v>12</v>
      </c>
      <c r="F21" s="2">
        <v>90</v>
      </c>
      <c r="G21" s="3">
        <v>8.5</v>
      </c>
      <c r="H21" s="3">
        <f>+G21*F21</f>
        <v>765</v>
      </c>
      <c r="I21" s="2" t="str">
        <f>+IF(H21&gt;1000,"Import Alto","Importe Normal")</f>
        <v>Importe Normal</v>
      </c>
    </row>
    <row r="22" spans="1:9" x14ac:dyDescent="0.25">
      <c r="A22" s="4">
        <v>30</v>
      </c>
      <c r="B22" s="4" t="s">
        <v>72</v>
      </c>
      <c r="C22" s="2" t="s">
        <v>73</v>
      </c>
      <c r="D22" s="2" t="s">
        <v>65</v>
      </c>
      <c r="E22" s="4" t="s">
        <v>12</v>
      </c>
      <c r="F22" s="2">
        <v>160</v>
      </c>
      <c r="G22" s="3">
        <v>4.75</v>
      </c>
      <c r="H22" s="3">
        <f>+G22*F22</f>
        <v>760</v>
      </c>
      <c r="I22" s="2" t="str">
        <f>+IF(H22&gt;1000,"Import Alto","Importe Normal")</f>
        <v>Importe Normal</v>
      </c>
    </row>
    <row r="23" spans="1:9" x14ac:dyDescent="0.25">
      <c r="A23" s="4">
        <v>2</v>
      </c>
      <c r="B23" s="4" t="s">
        <v>13</v>
      </c>
      <c r="C23" s="2" t="s">
        <v>14</v>
      </c>
      <c r="D23" s="2" t="s">
        <v>11</v>
      </c>
      <c r="E23" s="4" t="s">
        <v>12</v>
      </c>
      <c r="F23" s="2">
        <v>85</v>
      </c>
      <c r="G23" s="3">
        <v>8.75</v>
      </c>
      <c r="H23" s="3">
        <f>+G23*F23</f>
        <v>743.75</v>
      </c>
      <c r="I23" s="2" t="str">
        <f>+IF(H23&gt;1000,"Import Alto","Importe Normal")</f>
        <v>Importe Normal</v>
      </c>
    </row>
    <row r="24" spans="1:9" x14ac:dyDescent="0.25">
      <c r="A24" s="4">
        <v>25</v>
      </c>
      <c r="B24" s="4" t="s">
        <v>61</v>
      </c>
      <c r="C24" s="2" t="s">
        <v>62</v>
      </c>
      <c r="D24" s="2" t="s">
        <v>54</v>
      </c>
      <c r="E24" s="4" t="s">
        <v>12</v>
      </c>
      <c r="F24" s="2">
        <v>100</v>
      </c>
      <c r="G24" s="3">
        <v>7.4</v>
      </c>
      <c r="H24" s="3">
        <f>+G24*F24</f>
        <v>740</v>
      </c>
      <c r="I24" s="2" t="str">
        <f>+IF(H24&gt;1000,"Import Alto","Importe Normal")</f>
        <v>Importe Normal</v>
      </c>
    </row>
    <row r="25" spans="1:9" x14ac:dyDescent="0.25">
      <c r="A25" s="4">
        <v>29</v>
      </c>
      <c r="B25" s="4" t="s">
        <v>70</v>
      </c>
      <c r="C25" s="2" t="s">
        <v>71</v>
      </c>
      <c r="D25" s="2" t="s">
        <v>65</v>
      </c>
      <c r="E25" s="4" t="s">
        <v>12</v>
      </c>
      <c r="F25" s="2">
        <v>140</v>
      </c>
      <c r="G25" s="3">
        <v>5.15</v>
      </c>
      <c r="H25" s="3">
        <f>+G25*F25</f>
        <v>721</v>
      </c>
      <c r="I25" s="2" t="str">
        <f>+IF(H25&gt;1000,"Import Alto","Importe Normal")</f>
        <v>Importe Normal</v>
      </c>
    </row>
    <row r="26" spans="1:9" x14ac:dyDescent="0.25">
      <c r="A26" s="4">
        <v>22</v>
      </c>
      <c r="B26" s="4" t="s">
        <v>55</v>
      </c>
      <c r="C26" s="2" t="s">
        <v>56</v>
      </c>
      <c r="D26" s="2" t="s">
        <v>54</v>
      </c>
      <c r="E26" s="4" t="s">
        <v>12</v>
      </c>
      <c r="F26" s="2">
        <v>150</v>
      </c>
      <c r="G26" s="3">
        <v>4.8</v>
      </c>
      <c r="H26" s="3">
        <f>+G26*F26</f>
        <v>720</v>
      </c>
      <c r="I26" s="2" t="str">
        <f>+IF(H26&gt;1000,"Import Alto","Importe Normal")</f>
        <v>Importe Normal</v>
      </c>
    </row>
    <row r="27" spans="1:9" x14ac:dyDescent="0.25">
      <c r="A27" s="4">
        <v>31</v>
      </c>
      <c r="B27" s="4" t="s">
        <v>74</v>
      </c>
      <c r="C27" s="2" t="s">
        <v>75</v>
      </c>
      <c r="D27" s="2" t="s">
        <v>76</v>
      </c>
      <c r="E27" s="4" t="s">
        <v>12</v>
      </c>
      <c r="F27" s="2">
        <v>250</v>
      </c>
      <c r="G27" s="3">
        <v>2.75</v>
      </c>
      <c r="H27" s="3">
        <f>+G27*F27</f>
        <v>687.5</v>
      </c>
      <c r="I27" s="2" t="str">
        <f>+IF(H27&gt;1000,"Import Alto","Importe Normal")</f>
        <v>Importe Normal</v>
      </c>
    </row>
    <row r="28" spans="1:9" x14ac:dyDescent="0.25">
      <c r="A28" s="4">
        <v>23</v>
      </c>
      <c r="B28" s="4" t="s">
        <v>57</v>
      </c>
      <c r="C28" s="2" t="s">
        <v>58</v>
      </c>
      <c r="D28" s="2" t="s">
        <v>54</v>
      </c>
      <c r="E28" s="4" t="s">
        <v>12</v>
      </c>
      <c r="F28" s="2">
        <v>130</v>
      </c>
      <c r="G28" s="3">
        <v>5.25</v>
      </c>
      <c r="H28" s="3">
        <f>+G28*F28</f>
        <v>682.5</v>
      </c>
      <c r="I28" s="2" t="str">
        <f>+IF(H28&gt;1000,"Import Alto","Importe Normal")</f>
        <v>Importe Normal</v>
      </c>
    </row>
    <row r="29" spans="1:9" x14ac:dyDescent="0.25">
      <c r="A29" s="4">
        <v>16</v>
      </c>
      <c r="B29" s="4" t="s">
        <v>41</v>
      </c>
      <c r="C29" s="2" t="s">
        <v>42</v>
      </c>
      <c r="D29" s="2" t="s">
        <v>43</v>
      </c>
      <c r="E29" s="4" t="s">
        <v>12</v>
      </c>
      <c r="F29" s="2">
        <v>180</v>
      </c>
      <c r="G29" s="3">
        <v>3.6</v>
      </c>
      <c r="H29" s="3">
        <f>+G29*F29</f>
        <v>648</v>
      </c>
      <c r="I29" s="2" t="str">
        <f>+IF(H29&gt;1000,"Import Alto","Importe Normal")</f>
        <v>Importe Normal</v>
      </c>
    </row>
    <row r="30" spans="1:9" x14ac:dyDescent="0.25">
      <c r="A30" s="4">
        <v>6</v>
      </c>
      <c r="B30" s="4" t="s">
        <v>21</v>
      </c>
      <c r="C30" s="2" t="s">
        <v>22</v>
      </c>
      <c r="D30" s="2" t="s">
        <v>11</v>
      </c>
      <c r="E30" s="4" t="s">
        <v>12</v>
      </c>
      <c r="F30" s="2">
        <v>95</v>
      </c>
      <c r="G30" s="3">
        <v>6.8</v>
      </c>
      <c r="H30" s="3">
        <f>+G30*F30</f>
        <v>646</v>
      </c>
      <c r="I30" s="2" t="str">
        <f>+IF(H30&gt;1000,"Import Alto","Importe Normal")</f>
        <v>Importe Normal</v>
      </c>
    </row>
    <row r="31" spans="1:9" x14ac:dyDescent="0.25">
      <c r="A31" s="4">
        <v>12</v>
      </c>
      <c r="B31" s="4" t="s">
        <v>33</v>
      </c>
      <c r="C31" s="2" t="s">
        <v>34</v>
      </c>
      <c r="D31" s="2" t="s">
        <v>11</v>
      </c>
      <c r="E31" s="4" t="s">
        <v>12</v>
      </c>
      <c r="F31" s="2">
        <v>220</v>
      </c>
      <c r="G31" s="3">
        <v>2.9</v>
      </c>
      <c r="H31" s="3">
        <f>+G31*F31</f>
        <v>638</v>
      </c>
      <c r="I31" s="2" t="str">
        <f>+IF(H31&gt;1000,"Import Alto","Importe Normal")</f>
        <v>Importe Normal</v>
      </c>
    </row>
    <row r="32" spans="1:9" x14ac:dyDescent="0.25">
      <c r="A32" s="4">
        <v>27</v>
      </c>
      <c r="B32" s="4" t="s">
        <v>66</v>
      </c>
      <c r="C32" s="2" t="s">
        <v>67</v>
      </c>
      <c r="D32" s="2" t="s">
        <v>65</v>
      </c>
      <c r="E32" s="4" t="s">
        <v>12</v>
      </c>
      <c r="F32" s="2">
        <v>175</v>
      </c>
      <c r="G32" s="3">
        <v>3.5</v>
      </c>
      <c r="H32" s="3">
        <f>+G32*F32</f>
        <v>612.5</v>
      </c>
      <c r="I32" s="2" t="str">
        <f>+IF(H32&gt;1000,"Import Alto","Importe Normal")</f>
        <v>Importe Normal</v>
      </c>
    </row>
    <row r="33" spans="1:9" x14ac:dyDescent="0.25">
      <c r="A33" s="4">
        <v>8</v>
      </c>
      <c r="B33" s="4" t="s">
        <v>25</v>
      </c>
      <c r="C33" s="2" t="s">
        <v>26</v>
      </c>
      <c r="D33" s="2" t="s">
        <v>11</v>
      </c>
      <c r="E33" s="4" t="s">
        <v>12</v>
      </c>
      <c r="F33" s="2">
        <v>160</v>
      </c>
      <c r="G33" s="3">
        <v>3.75</v>
      </c>
      <c r="H33" s="3">
        <f>+G33*F33</f>
        <v>600</v>
      </c>
      <c r="I33" s="2" t="str">
        <f>+IF(H33&gt;1000,"Import Alto","Importe Normal")</f>
        <v>Importe Normal</v>
      </c>
    </row>
    <row r="34" spans="1:9" x14ac:dyDescent="0.25">
      <c r="A34" s="4">
        <v>13</v>
      </c>
      <c r="B34" s="4" t="s">
        <v>35</v>
      </c>
      <c r="C34" s="2" t="s">
        <v>36</v>
      </c>
      <c r="D34" s="2" t="s">
        <v>11</v>
      </c>
      <c r="E34" s="4" t="s">
        <v>12</v>
      </c>
      <c r="F34" s="2">
        <v>250</v>
      </c>
      <c r="G34" s="3">
        <v>2.4</v>
      </c>
      <c r="H34" s="3">
        <f>+G34*F34</f>
        <v>600</v>
      </c>
      <c r="I34" s="2" t="str">
        <f>+IF(H34&gt;1000,"Import Alto","Importe Normal")</f>
        <v>Importe Normal</v>
      </c>
    </row>
    <row r="35" spans="1:9" x14ac:dyDescent="0.25">
      <c r="A35" s="4">
        <v>32</v>
      </c>
      <c r="B35" s="4" t="s">
        <v>77</v>
      </c>
      <c r="C35" s="2" t="s">
        <v>78</v>
      </c>
      <c r="D35" s="2" t="s">
        <v>76</v>
      </c>
      <c r="E35" s="4" t="s">
        <v>12</v>
      </c>
      <c r="F35" s="2">
        <v>180</v>
      </c>
      <c r="G35" s="3">
        <v>3.2</v>
      </c>
      <c r="H35" s="3">
        <f>+G35*F35</f>
        <v>576</v>
      </c>
      <c r="I35" s="2" t="str">
        <f>+IF(H35&gt;1000,"Import Alto","Importe Normal")</f>
        <v>Importe Normal</v>
      </c>
    </row>
    <row r="36" spans="1:9" x14ac:dyDescent="0.25">
      <c r="A36" s="4">
        <v>4</v>
      </c>
      <c r="B36" s="4" t="s">
        <v>17</v>
      </c>
      <c r="C36" s="2" t="s">
        <v>18</v>
      </c>
      <c r="D36" s="2" t="s">
        <v>11</v>
      </c>
      <c r="E36" s="4" t="s">
        <v>12</v>
      </c>
      <c r="F36" s="2">
        <v>200</v>
      </c>
      <c r="G36" s="3">
        <v>2.85</v>
      </c>
      <c r="H36" s="3">
        <f>+G36*F36</f>
        <v>570</v>
      </c>
      <c r="I36" s="2" t="str">
        <f>+IF(H36&gt;1000,"Import Alto","Importe Normal")</f>
        <v>Importe Normal</v>
      </c>
    </row>
    <row r="37" spans="1:9" x14ac:dyDescent="0.25">
      <c r="A37" s="4">
        <v>9</v>
      </c>
      <c r="B37" s="4" t="s">
        <v>27</v>
      </c>
      <c r="C37" s="2" t="s">
        <v>28</v>
      </c>
      <c r="D37" s="2" t="s">
        <v>11</v>
      </c>
      <c r="E37" s="4" t="s">
        <v>12</v>
      </c>
      <c r="F37" s="2">
        <v>130</v>
      </c>
      <c r="G37" s="3">
        <v>4.25</v>
      </c>
      <c r="H37" s="3">
        <f>+G37*F37</f>
        <v>552.5</v>
      </c>
      <c r="I37" s="2" t="str">
        <f>+IF(H37&gt;1000,"Import Alto","Importe Normal")</f>
        <v>Importe Normal</v>
      </c>
    </row>
    <row r="38" spans="1:9" x14ac:dyDescent="0.25">
      <c r="A38" s="4">
        <v>28</v>
      </c>
      <c r="B38" s="4" t="s">
        <v>68</v>
      </c>
      <c r="C38" s="2" t="s">
        <v>69</v>
      </c>
      <c r="D38" s="2" t="s">
        <v>65</v>
      </c>
      <c r="E38" s="4" t="s">
        <v>12</v>
      </c>
      <c r="F38" s="2">
        <v>120</v>
      </c>
      <c r="G38" s="3">
        <v>4.5999999999999996</v>
      </c>
      <c r="H38" s="3">
        <f>+G38*F38</f>
        <v>552</v>
      </c>
      <c r="I38" s="2" t="str">
        <f>+IF(H38&gt;1000,"Import Alto","Importe Normal")</f>
        <v>Importe Normal</v>
      </c>
    </row>
    <row r="39" spans="1:9" x14ac:dyDescent="0.25">
      <c r="A39" s="4">
        <v>11</v>
      </c>
      <c r="B39" s="4" t="s">
        <v>31</v>
      </c>
      <c r="C39" s="2" t="s">
        <v>32</v>
      </c>
      <c r="D39" s="2" t="s">
        <v>11</v>
      </c>
      <c r="E39" s="4" t="s">
        <v>12</v>
      </c>
      <c r="F39" s="2">
        <v>75</v>
      </c>
      <c r="G39" s="3">
        <v>7.25</v>
      </c>
      <c r="H39" s="3">
        <f>+G39*F39</f>
        <v>543.75</v>
      </c>
      <c r="I39" s="2" t="str">
        <f>+IF(H39&gt;1000,"Import Alto","Importe Normal")</f>
        <v>Importe Normal</v>
      </c>
    </row>
    <row r="40" spans="1:9" x14ac:dyDescent="0.25">
      <c r="A40" s="4">
        <v>1</v>
      </c>
      <c r="B40" s="4" t="s">
        <v>9</v>
      </c>
      <c r="C40" s="2" t="s">
        <v>10</v>
      </c>
      <c r="D40" s="2" t="s">
        <v>11</v>
      </c>
      <c r="E40" s="4" t="s">
        <v>12</v>
      </c>
      <c r="F40" s="2">
        <v>120</v>
      </c>
      <c r="G40" s="3">
        <v>4.5</v>
      </c>
      <c r="H40" s="3">
        <f>+G40*F40</f>
        <v>540</v>
      </c>
      <c r="I40" s="2" t="str">
        <f>+IF(H40&gt;1000,"Import Alto","Importe Normal")</f>
        <v>Importe Normal</v>
      </c>
    </row>
    <row r="41" spans="1:9" x14ac:dyDescent="0.25">
      <c r="A41" s="4">
        <v>18</v>
      </c>
      <c r="B41" s="4" t="s">
        <v>46</v>
      </c>
      <c r="C41" s="2" t="s">
        <v>47</v>
      </c>
      <c r="D41" s="2" t="s">
        <v>43</v>
      </c>
      <c r="E41" s="4" t="s">
        <v>12</v>
      </c>
      <c r="F41" s="2">
        <v>300</v>
      </c>
      <c r="G41" s="3">
        <v>1.8</v>
      </c>
      <c r="H41" s="3">
        <f>+G41*F41</f>
        <v>540</v>
      </c>
      <c r="I41" s="2" t="str">
        <f>+IF(H41&gt;1000,"Import Alto","Importe Normal")</f>
        <v>Importe Normal</v>
      </c>
    </row>
    <row r="42" spans="1:9" x14ac:dyDescent="0.25">
      <c r="A42" s="4">
        <v>14</v>
      </c>
      <c r="B42" s="4" t="s">
        <v>37</v>
      </c>
      <c r="C42" s="2" t="s">
        <v>38</v>
      </c>
      <c r="D42" s="2" t="s">
        <v>11</v>
      </c>
      <c r="E42" s="4" t="s">
        <v>12</v>
      </c>
      <c r="F42" s="2">
        <v>140</v>
      </c>
      <c r="G42" s="3">
        <v>3.85</v>
      </c>
      <c r="H42" s="3">
        <f>+G42*F42</f>
        <v>539</v>
      </c>
      <c r="I42" s="2" t="str">
        <f>+IF(H42&gt;1000,"Import Alto","Importe Normal")</f>
        <v>Importe Normal</v>
      </c>
    </row>
    <row r="43" spans="1:9" x14ac:dyDescent="0.25">
      <c r="A43" s="4">
        <v>24</v>
      </c>
      <c r="B43" s="4" t="s">
        <v>59</v>
      </c>
      <c r="C43" s="2" t="s">
        <v>60</v>
      </c>
      <c r="D43" s="2" t="s">
        <v>54</v>
      </c>
      <c r="E43" s="4" t="s">
        <v>12</v>
      </c>
      <c r="F43" s="2">
        <v>180</v>
      </c>
      <c r="G43" s="3">
        <v>2.95</v>
      </c>
      <c r="H43" s="3">
        <f>+G43*F43</f>
        <v>531</v>
      </c>
      <c r="I43" s="2" t="str">
        <f>+IF(H43&gt;1000,"Import Alto","Importe Normal")</f>
        <v>Importe Normal</v>
      </c>
    </row>
    <row r="44" spans="1:9" x14ac:dyDescent="0.25">
      <c r="A44" s="4">
        <v>17</v>
      </c>
      <c r="B44" s="4" t="s">
        <v>44</v>
      </c>
      <c r="C44" s="2" t="s">
        <v>45</v>
      </c>
      <c r="D44" s="2" t="s">
        <v>43</v>
      </c>
      <c r="E44" s="4" t="s">
        <v>12</v>
      </c>
      <c r="F44" s="2">
        <v>160</v>
      </c>
      <c r="G44" s="3">
        <v>3.25</v>
      </c>
      <c r="H44" s="3">
        <f>+G44*F44</f>
        <v>520</v>
      </c>
      <c r="I44" s="2" t="str">
        <f>+IF(H44&gt;1000,"Import Alto","Importe Normal")</f>
        <v>Importe Normal</v>
      </c>
    </row>
    <row r="45" spans="1:9" x14ac:dyDescent="0.25">
      <c r="A45" s="4">
        <v>10</v>
      </c>
      <c r="B45" s="4" t="s">
        <v>29</v>
      </c>
      <c r="C45" s="2" t="s">
        <v>30</v>
      </c>
      <c r="D45" s="2" t="s">
        <v>11</v>
      </c>
      <c r="E45" s="4" t="s">
        <v>12</v>
      </c>
      <c r="F45" s="2">
        <v>90</v>
      </c>
      <c r="G45" s="3">
        <v>5.6</v>
      </c>
      <c r="H45" s="3">
        <f>+G45*F45</f>
        <v>503.99999999999994</v>
      </c>
      <c r="I45" s="2" t="str">
        <f>+IF(H45&gt;1000,"Import Alto","Importe Normal")</f>
        <v>Importe Normal</v>
      </c>
    </row>
    <row r="46" spans="1:9" x14ac:dyDescent="0.25">
      <c r="A46" s="4">
        <v>20</v>
      </c>
      <c r="B46" s="4" t="s">
        <v>50</v>
      </c>
      <c r="C46" s="2" t="s">
        <v>51</v>
      </c>
      <c r="D46" s="2" t="s">
        <v>43</v>
      </c>
      <c r="E46" s="4" t="s">
        <v>12</v>
      </c>
      <c r="F46" s="2">
        <v>125</v>
      </c>
      <c r="G46" s="3">
        <v>3.95</v>
      </c>
      <c r="H46" s="3">
        <f>+G46*F46</f>
        <v>493.75</v>
      </c>
      <c r="I46" s="2" t="str">
        <f>+IF(H46&gt;1000,"Import Alto","Importe Normal")</f>
        <v>Importe Normal</v>
      </c>
    </row>
    <row r="47" spans="1:9" x14ac:dyDescent="0.25">
      <c r="A47" s="4">
        <v>15</v>
      </c>
      <c r="B47" s="4" t="s">
        <v>39</v>
      </c>
      <c r="C47" s="2" t="s">
        <v>40</v>
      </c>
      <c r="D47" s="2" t="s">
        <v>11</v>
      </c>
      <c r="E47" s="4" t="s">
        <v>12</v>
      </c>
      <c r="F47" s="2">
        <v>100</v>
      </c>
      <c r="G47" s="3">
        <v>4.9000000000000004</v>
      </c>
      <c r="H47" s="3">
        <f>+G47*F47</f>
        <v>490.00000000000006</v>
      </c>
      <c r="I47" s="2" t="str">
        <f>+IF(H47&gt;1000,"Import Alto","Importe Normal")</f>
        <v>Importe Normal</v>
      </c>
    </row>
    <row r="48" spans="1:9" x14ac:dyDescent="0.25">
      <c r="A48" s="4">
        <v>3</v>
      </c>
      <c r="B48" s="4" t="s">
        <v>15</v>
      </c>
      <c r="C48" s="2" t="s">
        <v>16</v>
      </c>
      <c r="D48" s="2" t="s">
        <v>11</v>
      </c>
      <c r="E48" s="4" t="s">
        <v>12</v>
      </c>
      <c r="F48" s="2">
        <v>150</v>
      </c>
      <c r="G48" s="3">
        <v>3.2</v>
      </c>
      <c r="H48" s="3">
        <f>+G48*F48</f>
        <v>480</v>
      </c>
      <c r="I48" s="2" t="str">
        <f>+IF(H48&gt;1000,"Import Alto","Importe Normal")</f>
        <v>Importe Normal</v>
      </c>
    </row>
    <row r="49" spans="1:9" x14ac:dyDescent="0.25">
      <c r="A49" s="4">
        <v>19</v>
      </c>
      <c r="B49" s="4" t="s">
        <v>48</v>
      </c>
      <c r="C49" s="2" t="s">
        <v>49</v>
      </c>
      <c r="D49" s="2" t="s">
        <v>43</v>
      </c>
      <c r="E49" s="4" t="s">
        <v>12</v>
      </c>
      <c r="F49" s="2">
        <v>80</v>
      </c>
      <c r="G49" s="3">
        <v>5.75</v>
      </c>
      <c r="H49" s="3">
        <f>+G49*F49</f>
        <v>460</v>
      </c>
      <c r="I49" s="2" t="str">
        <f>+IF(H49&gt;1000,"Import Alto","Importe Normal")</f>
        <v>Importe Normal</v>
      </c>
    </row>
    <row r="50" spans="1:9" x14ac:dyDescent="0.25">
      <c r="A50" s="4">
        <v>33</v>
      </c>
      <c r="B50" s="4" t="s">
        <v>79</v>
      </c>
      <c r="C50" s="2" t="s">
        <v>80</v>
      </c>
      <c r="D50" s="2" t="s">
        <v>76</v>
      </c>
      <c r="E50" s="4" t="s">
        <v>12</v>
      </c>
      <c r="F50" s="2">
        <v>300</v>
      </c>
      <c r="G50" s="3">
        <v>1.5</v>
      </c>
      <c r="H50" s="3">
        <f>+G50*F50</f>
        <v>450</v>
      </c>
      <c r="I50" s="2" t="str">
        <f>+IF(H50&gt;1000,"Import Alto","Importe Normal")</f>
        <v>Importe Normal</v>
      </c>
    </row>
    <row r="51" spans="1:9" x14ac:dyDescent="0.25">
      <c r="A51" s="16">
        <v>34</v>
      </c>
      <c r="B51" s="16" t="s">
        <v>81</v>
      </c>
      <c r="C51" s="17" t="s">
        <v>82</v>
      </c>
      <c r="D51" s="17" t="s">
        <v>76</v>
      </c>
      <c r="E51" s="16" t="s">
        <v>12</v>
      </c>
      <c r="F51" s="17">
        <v>150</v>
      </c>
      <c r="G51" s="18">
        <v>2.9</v>
      </c>
      <c r="H51" s="18">
        <f>+G51*F51</f>
        <v>435</v>
      </c>
      <c r="I51" s="17" t="str">
        <f>+IF(H51&gt;1000,"Import Alto","Importe Normal")</f>
        <v>Importe Normal</v>
      </c>
    </row>
    <row r="54" spans="1:9" x14ac:dyDescent="0.25">
      <c r="B54" s="7" t="s">
        <v>120</v>
      </c>
      <c r="C54" s="7"/>
      <c r="D54" s="8">
        <f>+AVERAGE(G2:G51)</f>
        <v>7.7419999999999991</v>
      </c>
    </row>
    <row r="55" spans="1:9" x14ac:dyDescent="0.25">
      <c r="B55" s="7" t="s">
        <v>121</v>
      </c>
      <c r="C55" s="7"/>
      <c r="D55" s="9">
        <f>+COUNTA(A2:A51)</f>
        <v>50</v>
      </c>
    </row>
    <row r="56" spans="1:9" x14ac:dyDescent="0.25">
      <c r="B56" s="10" t="s">
        <v>122</v>
      </c>
      <c r="C56" s="10"/>
      <c r="D56" s="9">
        <f>SUMIF(E2:E51,"México",H2:H51)</f>
        <v>36919.5</v>
      </c>
    </row>
    <row r="57" spans="1:9" x14ac:dyDescent="0.25">
      <c r="B57" s="6"/>
      <c r="C57" s="6"/>
    </row>
  </sheetData>
  <mergeCells count="4">
    <mergeCell ref="B54:C54"/>
    <mergeCell ref="B55:C55"/>
    <mergeCell ref="B56:C56"/>
    <mergeCell ref="B57:C57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0B22-4B5C-4C3A-B633-61D6C23AA758}">
  <dimension ref="A1:E5"/>
  <sheetViews>
    <sheetView tabSelected="1" workbookViewId="0">
      <selection activeCell="G13" sqref="G13"/>
    </sheetView>
  </sheetViews>
  <sheetFormatPr baseColWidth="10" defaultRowHeight="15" x14ac:dyDescent="0.25"/>
  <cols>
    <col min="1" max="1" width="19.7109375" bestFit="1" customWidth="1"/>
    <col min="2" max="2" width="27" bestFit="1" customWidth="1"/>
    <col min="4" max="4" width="49.28515625" customWidth="1"/>
  </cols>
  <sheetData>
    <row r="1" spans="1:5" x14ac:dyDescent="0.25">
      <c r="A1" s="11" t="s">
        <v>123</v>
      </c>
      <c r="B1" s="11"/>
      <c r="C1" s="11"/>
      <c r="D1" s="11"/>
      <c r="E1" s="12">
        <f>+SUM(Datos_Importación!H2:H51)</f>
        <v>40359</v>
      </c>
    </row>
    <row r="2" spans="1:5" x14ac:dyDescent="0.25">
      <c r="A2" s="11" t="s">
        <v>124</v>
      </c>
      <c r="B2" s="11"/>
      <c r="C2" s="11"/>
      <c r="D2" s="11"/>
      <c r="E2" s="9" t="s">
        <v>101</v>
      </c>
    </row>
    <row r="3" spans="1:5" x14ac:dyDescent="0.25">
      <c r="A3" s="11" t="s">
        <v>125</v>
      </c>
      <c r="B3" s="11"/>
      <c r="C3" s="11"/>
      <c r="D3" s="11"/>
      <c r="E3" s="9">
        <f>+AVERAGE(Datos_Importación!G2:G51)</f>
        <v>7.7419999999999991</v>
      </c>
    </row>
    <row r="4" spans="1:5" x14ac:dyDescent="0.25">
      <c r="A4" s="11" t="s">
        <v>126</v>
      </c>
      <c r="B4" s="11"/>
      <c r="C4" s="11"/>
      <c r="D4" s="11"/>
      <c r="E4" s="14">
        <f>+COUNTA(Datos_Importación!C2:C51)</f>
        <v>50</v>
      </c>
    </row>
    <row r="5" spans="1:5" x14ac:dyDescent="0.25">
      <c r="A5" s="11" t="s">
        <v>127</v>
      </c>
      <c r="B5" s="11"/>
      <c r="C5" s="11"/>
      <c r="D5" s="13"/>
      <c r="E5" s="15" t="s">
        <v>128</v>
      </c>
    </row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 Cisco</cp:lastModifiedBy>
  <dcterms:created xsi:type="dcterms:W3CDTF">2026-09-15T18:58:39Z</dcterms:created>
  <dcterms:modified xsi:type="dcterms:W3CDTF">2026-09-17T14:19:09Z</dcterms:modified>
</cp:coreProperties>
</file>